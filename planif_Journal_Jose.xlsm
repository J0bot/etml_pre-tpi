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01evl\OneDrive\_etudes\JoseEtudes\ETML FIN2\Pre-TPI\etml_pre-tpi\"/>
    </mc:Choice>
  </mc:AlternateContent>
  <bookViews>
    <workbookView xWindow="0" yWindow="0" windowWidth="21570" windowHeight="8055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9" i="10"/>
  <c r="C28" i="10"/>
  <c r="B48" i="10"/>
  <c r="C47" i="10"/>
  <c r="C46" i="10"/>
  <c r="C45" i="10"/>
  <c r="C44" i="10"/>
  <c r="C43" i="10"/>
  <c r="C42" i="10"/>
  <c r="C41" i="10"/>
  <c r="C4" i="12"/>
  <c r="C12" i="12"/>
  <c r="C40" i="10"/>
  <c r="C5" i="10"/>
  <c r="C4" i="10"/>
  <c r="C12" i="10"/>
  <c r="C24" i="10"/>
  <c r="C36" i="10"/>
  <c r="C48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84" i="1"/>
  <c r="D25" i="1"/>
  <c r="D63" i="1"/>
  <c r="D49" i="1"/>
  <c r="D91" i="1"/>
  <c r="D30" i="1"/>
  <c r="D62" i="1"/>
  <c r="D81" i="1"/>
  <c r="D46" i="1"/>
  <c r="D23" i="1"/>
  <c r="D74" i="1"/>
  <c r="D15" i="1"/>
  <c r="D60" i="1"/>
  <c r="D34" i="1"/>
  <c r="D72" i="1"/>
  <c r="D20" i="1"/>
  <c r="D53" i="1"/>
  <c r="D85" i="1"/>
  <c r="D37" i="1"/>
  <c r="D77" i="1"/>
  <c r="D88" i="1"/>
  <c r="D58" i="1"/>
  <c r="D21" i="1"/>
  <c r="D24" i="1"/>
  <c r="D65" i="1"/>
  <c r="D48" i="1"/>
  <c r="D50" i="1"/>
  <c r="D35" i="1"/>
  <c r="D78" i="1"/>
  <c r="D86" i="1"/>
  <c r="D55" i="1"/>
  <c r="D17" i="1"/>
  <c r="D31" i="1"/>
  <c r="D67" i="1"/>
  <c r="D56" i="1"/>
  <c r="D32" i="1"/>
  <c r="D76" i="1"/>
  <c r="D71" i="1"/>
  <c r="D33" i="1"/>
  <c r="D41" i="1"/>
  <c r="D42" i="1"/>
  <c r="D69" i="1"/>
  <c r="D54" i="1"/>
  <c r="D75" i="1"/>
  <c r="D38" i="1"/>
  <c r="D27" i="1"/>
  <c r="D28" i="1"/>
  <c r="D52" i="1"/>
  <c r="D66" i="1"/>
  <c r="D51" i="1"/>
  <c r="D16" i="1"/>
  <c r="D39" i="1"/>
  <c r="D18" i="1"/>
  <c r="D79" i="1"/>
  <c r="D45" i="1"/>
  <c r="D64" i="1"/>
  <c r="D29" i="1"/>
  <c r="D92" i="1"/>
  <c r="D82" i="1"/>
  <c r="C11" i="15"/>
  <c r="D57" i="1"/>
  <c r="C11" i="16"/>
  <c r="D94" i="1"/>
  <c r="D83" i="1"/>
  <c r="D70" i="1"/>
  <c r="D40" i="1"/>
  <c r="D43" i="1"/>
  <c r="D44" i="1"/>
  <c r="D19" i="1"/>
  <c r="D36" i="1"/>
  <c r="D22" i="1"/>
  <c r="D90" i="1"/>
  <c r="D59" i="1"/>
  <c r="D93" i="1"/>
  <c r="D26" i="1"/>
  <c r="D68" i="1"/>
  <c r="D61" i="1"/>
  <c r="D80" i="1"/>
  <c r="D47" i="1"/>
  <c r="D73" i="1"/>
  <c r="D89" i="1"/>
  <c r="D8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<sst xmlns="http://schemas.openxmlformats.org/spreadsheetml/2006/main" count="229" uniqueCount="67">
  <si>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</si>
  <si>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</si>
  <si>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</si>
  <si>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</si>
  <si>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</si>
  <si>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</si>
  <si>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</si>
  <si>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</si>
  <si>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</si>
  <si>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</si>
  <si>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</si>
  <si>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</si>
  <si>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</si>
  <si>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</si>
  <si>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</si>
  <si>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</si>
  <si>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</si>
  <si>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</si>
  <si>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</si>
  <si>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</si>
  <si>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</si>
  <si>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</si>
  <si>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</si>
  <si>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</si>
  <si>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</si>
  <si>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</si>
  <si>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</si>
  <si>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</si>
  <si>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</si>
  <si>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</si>
  <si>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</si>
  <si>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</si>
  <si>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</si>
  <si>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</si>
  <si>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</si>
  <si>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</si>
  <si>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</si>
  <si>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</si>
  <si>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</si>
  <si>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</si>
  <si>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</si>
  <si>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</si>
  <si>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</si>
  <si>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</si>
  <si>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</si>
  <si>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</si>
  <si>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</si>
  <si>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Mise en place Serveur Apache</t>
  </si>
  <si>
    <t>jeudi, 17 mars 2022</t>
  </si>
  <si>
    <t>Mise en place plaftormIO</t>
  </si>
  <si>
    <t>Analyse de la librairie aREST</t>
  </si>
  <si>
    <t>Analyse choix client et serveur</t>
  </si>
  <si>
    <t>Design du schema electrique</t>
  </si>
  <si>
    <t>Analyse du matériel (analyse datasheet)</t>
  </si>
  <si>
    <t>Vérification du matériel</t>
  </si>
  <si>
    <t>Analyse PWN</t>
  </si>
  <si>
    <t>Analyse GPIOS arduino</t>
  </si>
  <si>
    <t>Mise en place de l'environnement PlatformIO</t>
  </si>
  <si>
    <t>Mise en place de l'environnement git</t>
  </si>
  <si>
    <t>Mise en place de l'environnement de developpement web</t>
  </si>
  <si>
    <t>Séquence 4</t>
  </si>
  <si>
    <t>lundi, 14 mars 2022</t>
  </si>
  <si>
    <t>mardi, 15 mars 2022</t>
  </si>
  <si>
    <t>mercredi, 16 mars 2022</t>
  </si>
  <si>
    <t>6h</t>
  </si>
  <si>
    <t>2h30min</t>
  </si>
  <si>
    <t>- 3h30min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</si>
</sst>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3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23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4" xfId="0" applyFont="1" applyFill="1" applyBorder="1"/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Serveur Apache</c:v>
              </c:pt>
              <c:pt idx="6">
                <c:v>Analyse choix client et serveur</c:v>
              </c:pt>
              <c:pt idx="7">
                <c:v>Design du schema electrique</c:v>
              </c:pt>
              <c:pt idx="8">
                <c:v>Analyse du matériel (analyse datasheet)</c:v>
              </c:pt>
              <c:pt idx="9">
                <c:v>Vérification du matériel</c:v>
              </c:pt>
              <c:pt idx="10">
                <c:v>Analyse PWN</c:v>
              </c:pt>
              <c:pt idx="11">
                <c:v>Analyse GPIOS arduino</c:v>
              </c:pt>
              <c:pt idx="12">
                <c:v>Mise en place de l'environnement PlatformIO</c:v>
              </c:pt>
              <c:pt idx="13">
                <c:v>Analyse de la librairie aREST</c:v>
              </c:pt>
              <c:pt idx="14">
                <c:v>Mise en place de l'environnement git</c:v>
              </c:pt>
              <c:pt idx="15">
                <c:v>Mise en place de l'environnement de developpement web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</c:v>
              </c:pt>
              <c:pt idx="5">
                <c:v>1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2.5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268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38</v>
      </c>
      <c r="C35" s="165"/>
      <c r="D35" s="165"/>
      <c r="E35" s="107" t="s">
        <v>64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39</v>
      </c>
      <c r="C37" s="166"/>
      <c r="D37" s="166"/>
      <c r="E37" s="109" t="s">
        <v>65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226" t="s">
        <v>66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IL99"/>
  <sheetViews>
    <sheetView showGridLines="0" tabSelected="1" topLeftCell="A25" zoomScale="70" zoomScaleNormal="70" zoomScaleSheetLayoutView="43" workbookViewId="0">
      <selection activeCell="CD31" sqref="CD31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245" width="1.140625" style="3" customWidth="1"/>
    <col min="246" max="246" width="2.7109375" style="3" customWidth="1"/>
    <col min="247" max="16384" width="11.42578125" style="3"/>
  </cols>
  <sheetData>
    <row r="1" spans="1:246" ht="35.1" customHeight="1" x14ac:dyDescent="0.25">
      <c r="B1" s="95"/>
      <c r="C1" s="197" t="s">
        <v>35</v>
      </c>
      <c r="D1" s="197"/>
      <c r="E1" s="19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93">
        <v>1</v>
      </c>
    </row>
    <row r="2" spans="1:2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90"/>
    </row>
    <row r="3" spans="1:24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90"/>
    </row>
    <row r="4" spans="1:24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90"/>
    </row>
    <row r="5" spans="1:24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90"/>
    </row>
    <row r="6" spans="1:24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90"/>
    </row>
    <row r="7" spans="1:246" ht="20.100000000000001" customHeight="1" thickBot="1" x14ac:dyDescent="0.3">
      <c r="B7" s="96"/>
      <c r="C7" s="198"/>
      <c r="D7" s="198"/>
      <c r="E7" s="19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90"/>
    </row>
    <row r="8" spans="1:24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90"/>
    </row>
    <row r="9" spans="1:246" ht="30" customHeight="1" x14ac:dyDescent="0.25">
      <c r="B9" s="96"/>
      <c r="C9" s="12" t="s">
        <v>22</v>
      </c>
      <c r="D9" s="141"/>
      <c r="E9" s="13" t="s">
        <v>26</v>
      </c>
      <c r="F9" s="14"/>
      <c r="G9" s="188" t="str">
        <f>E96</f>
        <v>6h</v>
      </c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19"/>
      <c r="W9" s="187" t="s">
        <v>27</v>
      </c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8" t="str">
        <f>E98</f>
        <v>2h30min</v>
      </c>
      <c r="AI9" s="188"/>
      <c r="AJ9" s="188"/>
      <c r="AK9" s="188"/>
      <c r="AL9" s="188"/>
      <c r="AM9" s="188"/>
      <c r="AN9" s="188"/>
      <c r="AO9" s="188"/>
      <c r="AP9" s="188"/>
      <c r="AQ9" s="188"/>
      <c r="AR9" s="188"/>
      <c r="AS9" s="188"/>
      <c r="AT9" s="188"/>
      <c r="AU9" s="188"/>
      <c r="AV9" s="188"/>
      <c r="AW9" s="188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90"/>
    </row>
    <row r="10" spans="1:2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90"/>
    </row>
    <row r="11" spans="1:246" ht="20.100000000000001" customHeight="1" x14ac:dyDescent="0.25">
      <c r="B11" s="96"/>
      <c r="C11" s="195"/>
      <c r="D11" s="195"/>
      <c r="E11" s="195"/>
      <c r="F11" s="186" t="s">
        <v>48</v>
      </c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 t="s">
        <v>63</v>
      </c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  <c r="DS11" s="186"/>
      <c r="DT11" s="186"/>
      <c r="DU11" s="186"/>
      <c r="DV11" s="183" t="s">
        <v>62</v>
      </c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3"/>
      <c r="EZ11" s="183"/>
      <c r="FA11" s="183"/>
      <c r="FB11" s="183"/>
      <c r="FC11" s="183"/>
      <c r="FD11" s="183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3"/>
      <c r="FZ11" s="183"/>
      <c r="GA11" s="183"/>
      <c r="GB11" s="183"/>
      <c r="GC11" s="183"/>
      <c r="GD11" s="183" t="s">
        <v>61</v>
      </c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3"/>
      <c r="GZ11" s="183"/>
      <c r="HA11" s="183"/>
      <c r="HB11" s="183"/>
      <c r="HC11" s="183"/>
      <c r="HD11" s="183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3"/>
      <c r="HZ11" s="183"/>
      <c r="IA11" s="183"/>
      <c r="IB11" s="183"/>
      <c r="IC11" s="183"/>
      <c r="ID11" s="183"/>
      <c r="IE11" s="183"/>
      <c r="IF11" s="183"/>
      <c r="IG11" s="183"/>
      <c r="IH11" s="183"/>
      <c r="II11" s="183"/>
      <c r="IJ11" s="183"/>
      <c r="IK11" s="183"/>
      <c r="IL11" s="90"/>
    </row>
    <row r="12" spans="1:246" ht="15.75" customHeight="1" thickBot="1" x14ac:dyDescent="0.3">
      <c r="B12" s="97"/>
      <c r="C12" s="196"/>
      <c r="D12" s="196"/>
      <c r="E12" s="196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/>
      <c r="BO12" s="185"/>
      <c r="BP12" s="185"/>
      <c r="BQ12" s="185"/>
      <c r="BR12" s="185"/>
      <c r="BS12" s="185"/>
      <c r="BT12" s="185"/>
      <c r="BU12" s="185"/>
      <c r="BV12" s="185"/>
      <c r="BW12" s="185"/>
      <c r="BX12" s="185"/>
      <c r="BY12" s="185"/>
      <c r="BZ12" s="185"/>
      <c r="CA12" s="185"/>
      <c r="CB12" s="185"/>
      <c r="CC12" s="185"/>
      <c r="CD12" s="185"/>
      <c r="CE12" s="185"/>
      <c r="CF12" s="185"/>
      <c r="CG12" s="185"/>
      <c r="CH12" s="185"/>
      <c r="CI12" s="185"/>
      <c r="CJ12" s="185"/>
      <c r="CK12" s="185"/>
      <c r="CL12" s="185"/>
      <c r="CM12" s="185"/>
      <c r="CN12" s="185"/>
      <c r="CO12" s="185"/>
      <c r="CP12" s="185"/>
      <c r="CQ12" s="185"/>
      <c r="CR12" s="185"/>
      <c r="CS12" s="185"/>
      <c r="CT12" s="185"/>
      <c r="CU12" s="185"/>
      <c r="CV12" s="185"/>
      <c r="CW12" s="185"/>
      <c r="CX12" s="185"/>
      <c r="CY12" s="185"/>
      <c r="CZ12" s="185"/>
      <c r="DA12" s="185"/>
      <c r="DB12" s="185"/>
      <c r="DC12" s="185"/>
      <c r="DD12" s="185"/>
      <c r="DE12" s="185"/>
      <c r="DF12" s="185"/>
      <c r="DG12" s="185"/>
      <c r="DH12" s="185"/>
      <c r="DI12" s="185"/>
      <c r="DJ12" s="185"/>
      <c r="DK12" s="185"/>
      <c r="DL12" s="185"/>
      <c r="DM12" s="185"/>
      <c r="DN12" s="185"/>
      <c r="DO12" s="185"/>
      <c r="DP12" s="185"/>
      <c r="DQ12" s="185"/>
      <c r="DR12" s="185"/>
      <c r="DS12" s="185"/>
      <c r="DT12" s="185"/>
      <c r="DU12" s="185"/>
      <c r="DV12" s="184"/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/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90"/>
    </row>
    <row r="13" spans="1:246" ht="42.75" customHeight="1" thickBot="1" x14ac:dyDescent="0.3">
      <c r="B13" s="96"/>
      <c r="C13" s="191" t="s">
        <v>7</v>
      </c>
      <c r="D13" s="144"/>
      <c r="E13" s="193" t="s">
        <v>45</v>
      </c>
      <c r="F13" s="168" t="s">
        <v>8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32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23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168" t="s">
        <v>60</v>
      </c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70"/>
      <c r="IL13" s="90"/>
    </row>
    <row r="14" spans="1:246" ht="12.75" customHeight="1" thickBot="1" x14ac:dyDescent="0.35">
      <c r="B14" s="96"/>
      <c r="C14" s="192"/>
      <c r="D14" s="145"/>
      <c r="E14" s="194"/>
      <c r="F14" s="103"/>
      <c r="G14" s="104"/>
      <c r="H14" s="104"/>
      <c r="I14" s="104"/>
      <c r="J14" s="171" t="s">
        <v>40</v>
      </c>
      <c r="K14" s="171"/>
      <c r="L14" s="171"/>
      <c r="M14" s="171"/>
      <c r="N14" s="104"/>
      <c r="O14" s="104"/>
      <c r="P14" s="167" t="s">
        <v>28</v>
      </c>
      <c r="Q14" s="167"/>
      <c r="R14" s="167"/>
      <c r="S14" s="167"/>
      <c r="T14" s="129"/>
      <c r="U14" s="129"/>
      <c r="V14" s="171" t="s">
        <v>41</v>
      </c>
      <c r="W14" s="171"/>
      <c r="X14" s="171"/>
      <c r="Y14" s="171"/>
      <c r="Z14" s="104"/>
      <c r="AA14" s="104"/>
      <c r="AB14" s="167" t="s">
        <v>29</v>
      </c>
      <c r="AC14" s="167"/>
      <c r="AD14" s="167"/>
      <c r="AE14" s="167"/>
      <c r="AF14" s="129"/>
      <c r="AG14" s="129"/>
      <c r="AH14" s="171" t="s">
        <v>42</v>
      </c>
      <c r="AI14" s="171"/>
      <c r="AJ14" s="171"/>
      <c r="AK14" s="171"/>
      <c r="AL14" s="104"/>
      <c r="AM14" s="104"/>
      <c r="AN14" s="167" t="s">
        <v>30</v>
      </c>
      <c r="AO14" s="167"/>
      <c r="AP14" s="167"/>
      <c r="AQ14" s="167"/>
      <c r="AR14" s="129"/>
      <c r="AS14" s="129"/>
      <c r="AT14" s="171" t="s">
        <v>43</v>
      </c>
      <c r="AU14" s="171"/>
      <c r="AV14" s="171"/>
      <c r="AW14" s="171"/>
      <c r="AX14" s="104"/>
      <c r="AY14" s="104"/>
      <c r="AZ14" s="167" t="s">
        <v>31</v>
      </c>
      <c r="BA14" s="167"/>
      <c r="BB14" s="167"/>
      <c r="BC14" s="167"/>
      <c r="BD14" s="129"/>
      <c r="BE14" s="129"/>
      <c r="BF14" s="171" t="s">
        <v>44</v>
      </c>
      <c r="BG14" s="171"/>
      <c r="BH14" s="171"/>
      <c r="BI14" s="171"/>
      <c r="BJ14" s="104"/>
      <c r="BK14" s="104"/>
      <c r="BL14" s="104"/>
      <c r="BM14" s="105"/>
      <c r="BN14" s="103"/>
      <c r="BO14" s="104"/>
      <c r="BP14" s="104"/>
      <c r="BQ14" s="104"/>
      <c r="BR14" s="171" t="s">
        <v>40</v>
      </c>
      <c r="BS14" s="171"/>
      <c r="BT14" s="171"/>
      <c r="BU14" s="171"/>
      <c r="BV14" s="104"/>
      <c r="BW14" s="104"/>
      <c r="BX14" s="167" t="s">
        <v>28</v>
      </c>
      <c r="BY14" s="167"/>
      <c r="BZ14" s="167"/>
      <c r="CA14" s="167"/>
      <c r="CB14" s="129"/>
      <c r="CC14" s="129"/>
      <c r="CD14" s="171" t="s">
        <v>41</v>
      </c>
      <c r="CE14" s="171"/>
      <c r="CF14" s="171"/>
      <c r="CG14" s="171"/>
      <c r="CH14" s="104"/>
      <c r="CI14" s="104"/>
      <c r="CJ14" s="167" t="s">
        <v>29</v>
      </c>
      <c r="CK14" s="167"/>
      <c r="CL14" s="167"/>
      <c r="CM14" s="167"/>
      <c r="CN14" s="129"/>
      <c r="CO14" s="129"/>
      <c r="CP14" s="171" t="s">
        <v>42</v>
      </c>
      <c r="CQ14" s="171"/>
      <c r="CR14" s="171"/>
      <c r="CS14" s="171"/>
      <c r="CT14" s="104"/>
      <c r="CU14" s="104"/>
      <c r="CV14" s="167" t="s">
        <v>30</v>
      </c>
      <c r="CW14" s="167"/>
      <c r="CX14" s="167"/>
      <c r="CY14" s="167"/>
      <c r="CZ14" s="129"/>
      <c r="DA14" s="129"/>
      <c r="DB14" s="171" t="s">
        <v>43</v>
      </c>
      <c r="DC14" s="171"/>
      <c r="DD14" s="171"/>
      <c r="DE14" s="171"/>
      <c r="DF14" s="104"/>
      <c r="DG14" s="104"/>
      <c r="DH14" s="167" t="s">
        <v>31</v>
      </c>
      <c r="DI14" s="167"/>
      <c r="DJ14" s="167"/>
      <c r="DK14" s="167"/>
      <c r="DL14" s="129"/>
      <c r="DM14" s="129"/>
      <c r="DN14" s="171" t="s">
        <v>44</v>
      </c>
      <c r="DO14" s="171"/>
      <c r="DP14" s="171"/>
      <c r="DQ14" s="171"/>
      <c r="DR14" s="104"/>
      <c r="DS14" s="104"/>
      <c r="DT14" s="104"/>
      <c r="DU14" s="105"/>
      <c r="DV14" s="103"/>
      <c r="DW14" s="104"/>
      <c r="DX14" s="104"/>
      <c r="DY14" s="104"/>
      <c r="DZ14" s="171" t="s">
        <v>40</v>
      </c>
      <c r="EA14" s="171"/>
      <c r="EB14" s="171"/>
      <c r="EC14" s="171"/>
      <c r="ED14" s="104"/>
      <c r="EE14" s="104"/>
      <c r="EF14" s="167" t="s">
        <v>28</v>
      </c>
      <c r="EG14" s="167"/>
      <c r="EH14" s="167"/>
      <c r="EI14" s="167"/>
      <c r="EJ14" s="129"/>
      <c r="EK14" s="129"/>
      <c r="EL14" s="171" t="s">
        <v>41</v>
      </c>
      <c r="EM14" s="171"/>
      <c r="EN14" s="171"/>
      <c r="EO14" s="171"/>
      <c r="EP14" s="104"/>
      <c r="EQ14" s="104"/>
      <c r="ER14" s="167" t="s">
        <v>29</v>
      </c>
      <c r="ES14" s="167"/>
      <c r="ET14" s="167"/>
      <c r="EU14" s="167"/>
      <c r="EV14" s="129"/>
      <c r="EW14" s="129"/>
      <c r="EX14" s="171" t="s">
        <v>42</v>
      </c>
      <c r="EY14" s="171"/>
      <c r="EZ14" s="171"/>
      <c r="FA14" s="171"/>
      <c r="FB14" s="104"/>
      <c r="FC14" s="104"/>
      <c r="FD14" s="167" t="s">
        <v>30</v>
      </c>
      <c r="FE14" s="167"/>
      <c r="FF14" s="167"/>
      <c r="FG14" s="167"/>
      <c r="FH14" s="129"/>
      <c r="FI14" s="129"/>
      <c r="FJ14" s="171" t="s">
        <v>43</v>
      </c>
      <c r="FK14" s="171"/>
      <c r="FL14" s="171"/>
      <c r="FM14" s="171"/>
      <c r="FN14" s="104"/>
      <c r="FO14" s="104"/>
      <c r="FP14" s="167" t="s">
        <v>31</v>
      </c>
      <c r="FQ14" s="167"/>
      <c r="FR14" s="167"/>
      <c r="FS14" s="167"/>
      <c r="FT14" s="129"/>
      <c r="FU14" s="129"/>
      <c r="FV14" s="171" t="s">
        <v>44</v>
      </c>
      <c r="FW14" s="171"/>
      <c r="FX14" s="171"/>
      <c r="FY14" s="171"/>
      <c r="FZ14" s="104"/>
      <c r="GA14" s="104"/>
      <c r="GB14" s="104"/>
      <c r="GC14" s="105"/>
      <c r="GD14" s="103"/>
      <c r="GE14" s="104"/>
      <c r="GF14" s="104"/>
      <c r="GG14" s="104"/>
      <c r="GH14" s="171" t="s">
        <v>40</v>
      </c>
      <c r="GI14" s="171"/>
      <c r="GJ14" s="171"/>
      <c r="GK14" s="171"/>
      <c r="GL14" s="104"/>
      <c r="GM14" s="104"/>
      <c r="GN14" s="167" t="s">
        <v>28</v>
      </c>
      <c r="GO14" s="167"/>
      <c r="GP14" s="167"/>
      <c r="GQ14" s="167"/>
      <c r="GR14" s="129"/>
      <c r="GS14" s="129"/>
      <c r="GT14" s="171" t="s">
        <v>41</v>
      </c>
      <c r="GU14" s="171"/>
      <c r="GV14" s="171"/>
      <c r="GW14" s="171"/>
      <c r="GX14" s="104"/>
      <c r="GY14" s="104"/>
      <c r="GZ14" s="167" t="s">
        <v>29</v>
      </c>
      <c r="HA14" s="167"/>
      <c r="HB14" s="167"/>
      <c r="HC14" s="167"/>
      <c r="HD14" s="129"/>
      <c r="HE14" s="129"/>
      <c r="HF14" s="171" t="s">
        <v>42</v>
      </c>
      <c r="HG14" s="171"/>
      <c r="HH14" s="171"/>
      <c r="HI14" s="171"/>
      <c r="HJ14" s="104"/>
      <c r="HK14" s="104"/>
      <c r="HL14" s="167" t="s">
        <v>30</v>
      </c>
      <c r="HM14" s="167"/>
      <c r="HN14" s="167"/>
      <c r="HO14" s="167"/>
      <c r="HP14" s="129"/>
      <c r="HQ14" s="129"/>
      <c r="HR14" s="171" t="s">
        <v>43</v>
      </c>
      <c r="HS14" s="171"/>
      <c r="HT14" s="171"/>
      <c r="HU14" s="171"/>
      <c r="HV14" s="104"/>
      <c r="HW14" s="104"/>
      <c r="HX14" s="167" t="s">
        <v>31</v>
      </c>
      <c r="HY14" s="167"/>
      <c r="HZ14" s="167"/>
      <c r="IA14" s="167"/>
      <c r="IB14" s="129"/>
      <c r="IC14" s="129"/>
      <c r="ID14" s="171" t="s">
        <v>44</v>
      </c>
      <c r="IE14" s="171"/>
      <c r="IF14" s="171"/>
      <c r="IG14" s="171"/>
      <c r="IH14" s="104"/>
      <c r="II14" s="104"/>
      <c r="IJ14" s="104"/>
      <c r="IK14" s="105"/>
      <c r="IL14" s="90"/>
    </row>
    <row r="15" spans="1:24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0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90"/>
    </row>
    <row r="16" spans="1:24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1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90"/>
    </row>
    <row r="17" spans="1:246" ht="20.100000000000001" customHeight="1" x14ac:dyDescent="0.25">
      <c r="A17" s="100" t="s">
        <v>24</v>
      </c>
      <c r="B17" s="63" t="str">
        <f>IF(LEN(C19)=0,"",C19)</f>
        <v>Réalisation - Interfaces</v>
      </c>
      <c r="C17" s="180" t="s">
        <v>36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90"/>
    </row>
    <row r="18" spans="1:246" ht="20.100000000000001" customHeight="1" x14ac:dyDescent="0.3">
      <c r="A18" s="100" t="s">
        <v>25</v>
      </c>
      <c r="B18" s="63" t="str">
        <f>IF(LEN(C21)=0,"",C21)</f>
        <v>Doc - Journal de travail</v>
      </c>
      <c r="C18" s="181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90"/>
    </row>
    <row r="19" spans="1:246" ht="20.100000000000001" customHeight="1" x14ac:dyDescent="0.25">
      <c r="A19" s="100" t="s">
        <v>24</v>
      </c>
      <c r="B19" s="63" t="str">
        <f>IF(LEN(C23)=0,"",C23)</f>
        <v>Doc - Rapport</v>
      </c>
      <c r="C19" s="180" t="s">
        <v>37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90"/>
    </row>
    <row r="20" spans="1:246" ht="20.100000000000001" customHeight="1" x14ac:dyDescent="0.25">
      <c r="A20" s="100" t="s">
        <v>25</v>
      </c>
      <c r="B20" s="63" t="str">
        <f>IF(LEN(C25)=0,"",C25)</f>
        <v>Mise en place Serveur Apache</v>
      </c>
      <c r="C20" s="190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90"/>
    </row>
    <row r="21" spans="1:246" ht="20.100000000000001" customHeight="1" x14ac:dyDescent="0.25">
      <c r="A21" s="100" t="s">
        <v>24</v>
      </c>
      <c r="B21" s="63" t="str">
        <f>IF(LEN(C27)=0,"",C27)</f>
        <v>Analyse choix client et serveur</v>
      </c>
      <c r="C21" s="180" t="s">
        <v>21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90"/>
    </row>
    <row r="22" spans="1:246" ht="20.100000000000001" customHeight="1" x14ac:dyDescent="0.25">
      <c r="A22" s="100" t="s">
        <v>25</v>
      </c>
      <c r="B22" s="63" t="str">
        <f>IF(LEN(C29)=0,"",C29)</f>
        <v>Design du schema electrique</v>
      </c>
      <c r="C22" s="190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90"/>
    </row>
    <row r="23" spans="1:246" ht="20.100000000000001" customHeight="1" x14ac:dyDescent="0.25">
      <c r="A23" s="100" t="s">
        <v>24</v>
      </c>
      <c r="B23" s="63" t="str">
        <f>IF(LEN(C31)=0,"",C31)</f>
        <v>Analyse du matériel (analyse datasheet)</v>
      </c>
      <c r="C23" s="180" t="s">
        <v>20</v>
      </c>
      <c r="D23" s="146" t="str">
        <f t="shared" si="0"/>
        <v>5h</v>
      </c>
      <c r="E23" s="39">
        <v>60</v>
      </c>
      <c r="F23" s="214"/>
      <c r="G23" s="215"/>
      <c r="H23" s="215"/>
      <c r="I23" s="215"/>
      <c r="J23" s="216"/>
      <c r="K23" s="217"/>
      <c r="L23" s="216"/>
      <c r="M23" s="216"/>
      <c r="N23" s="216"/>
      <c r="O23" s="216"/>
      <c r="P23" s="216"/>
      <c r="Q23" s="218"/>
      <c r="R23" s="216"/>
      <c r="S23" s="216"/>
      <c r="T23" s="216"/>
      <c r="U23" s="216"/>
      <c r="V23" s="216"/>
      <c r="W23" s="219"/>
      <c r="X23" s="216"/>
      <c r="Y23" s="216"/>
      <c r="Z23" s="216"/>
      <c r="AA23" s="216"/>
      <c r="AB23" s="216"/>
      <c r="AC23" s="218"/>
      <c r="AD23" s="216"/>
      <c r="AE23" s="216"/>
      <c r="AF23" s="216"/>
      <c r="AG23" s="216"/>
      <c r="AH23" s="216"/>
      <c r="AI23" s="219"/>
      <c r="AJ23" s="215"/>
      <c r="AK23" s="215"/>
      <c r="AL23" s="215"/>
      <c r="AM23" s="215"/>
      <c r="AN23" s="216"/>
      <c r="AO23" s="218"/>
      <c r="AP23" s="216"/>
      <c r="AQ23" s="216"/>
      <c r="AR23" s="216"/>
      <c r="AS23" s="216"/>
      <c r="AT23" s="216"/>
      <c r="AU23" s="219"/>
      <c r="AV23" s="216"/>
      <c r="AW23" s="216"/>
      <c r="AX23" s="216"/>
      <c r="AY23" s="216"/>
      <c r="AZ23" s="216"/>
      <c r="BA23" s="218"/>
      <c r="BB23" s="216"/>
      <c r="BC23" s="216"/>
      <c r="BD23" s="216"/>
      <c r="BE23" s="216"/>
      <c r="BF23" s="216"/>
      <c r="BG23" s="219"/>
      <c r="BH23" s="216"/>
      <c r="BI23" s="216"/>
      <c r="BJ23" s="216"/>
      <c r="BK23" s="216"/>
      <c r="BL23" s="216"/>
      <c r="BM23" s="220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90"/>
    </row>
    <row r="24" spans="1:246" ht="20.100000000000001" customHeight="1" x14ac:dyDescent="0.25">
      <c r="A24" s="100" t="s">
        <v>25</v>
      </c>
      <c r="B24" s="63" t="str">
        <f>IF(LEN(C33)=0,"",C33)</f>
        <v>Vérification du matériel</v>
      </c>
      <c r="C24" s="190"/>
      <c r="D24" s="147" t="str">
        <f t="shared" si="0"/>
        <v>2h30min</v>
      </c>
      <c r="E24" s="27">
        <v>30</v>
      </c>
      <c r="F24" s="227"/>
      <c r="G24" s="228"/>
      <c r="H24" s="228"/>
      <c r="I24" s="228"/>
      <c r="J24" s="229"/>
      <c r="K24" s="230"/>
      <c r="L24" s="229"/>
      <c r="M24" s="229"/>
      <c r="N24" s="229"/>
      <c r="O24" s="229"/>
      <c r="P24" s="229"/>
      <c r="Q24" s="231"/>
      <c r="R24" s="229"/>
      <c r="S24" s="229"/>
      <c r="T24" s="229"/>
      <c r="U24" s="229"/>
      <c r="V24" s="229"/>
      <c r="W24" s="232"/>
      <c r="X24" s="229"/>
      <c r="Y24" s="229"/>
      <c r="Z24" s="229"/>
      <c r="AA24" s="229"/>
      <c r="AB24" s="229"/>
      <c r="AC24" s="231"/>
      <c r="AD24" s="229"/>
      <c r="AE24" s="229"/>
      <c r="AF24" s="229"/>
      <c r="AG24" s="229"/>
      <c r="AH24" s="229"/>
      <c r="AI24" s="232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90"/>
    </row>
    <row r="25" spans="1:246" ht="20.100000000000001" customHeight="1" x14ac:dyDescent="0.25">
      <c r="A25" s="100" t="s">
        <v>24</v>
      </c>
      <c r="B25" s="63" t="str">
        <f>IF(LEN(C35)=0,"",C35)</f>
        <v>Analyse PWN</v>
      </c>
      <c r="C25" s="180" t="s">
        <v>47</v>
      </c>
      <c r="D25" s="146" t="str">
        <f t="shared" si="0"/>
        <v>1h</v>
      </c>
      <c r="E25" s="31">
        <v>12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221"/>
      <c r="GE25" s="222"/>
      <c r="GF25" s="222"/>
      <c r="GG25" s="222"/>
      <c r="GH25" s="223"/>
      <c r="GI25" s="224"/>
      <c r="GJ25" s="223"/>
      <c r="GK25" s="223"/>
      <c r="GL25" s="223"/>
      <c r="GM25" s="223"/>
      <c r="GN25" s="223"/>
      <c r="GO25" s="225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90"/>
    </row>
    <row r="26" spans="1:246" ht="20.100000000000001" customHeight="1" x14ac:dyDescent="0.3">
      <c r="A26" s="100" t="s">
        <v>25</v>
      </c>
      <c r="B26" s="63" t="str">
        <f>IF(LEN(C37)=0,"",C37)</f>
        <v>Analyse GPIOS arduino</v>
      </c>
      <c r="C26" s="19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90"/>
    </row>
    <row r="27" spans="1:246" ht="20.100000000000001" customHeight="1" x14ac:dyDescent="0.25">
      <c r="A27" s="100" t="s">
        <v>24</v>
      </c>
      <c r="B27" s="63" t="str">
        <f>IF(LEN(C39)=0,"",C39)</f>
        <v>Mise en place de l'environnement PlatformIO</v>
      </c>
      <c r="C27" s="180" t="s">
        <v>51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90"/>
    </row>
    <row r="28" spans="1:246" ht="20.100000000000001" customHeight="1" x14ac:dyDescent="0.3">
      <c r="A28" s="100" t="s">
        <v>25</v>
      </c>
      <c r="B28" s="63" t="str">
        <f>IF(LEN(C41)=0,"",C41)</f>
        <v>Analyse de la librairie aREST</v>
      </c>
      <c r="C28" s="181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90"/>
    </row>
    <row r="29" spans="1:246" ht="20.100000000000001" customHeight="1" x14ac:dyDescent="0.25">
      <c r="A29" s="100" t="s">
        <v>24</v>
      </c>
      <c r="B29" s="63" t="str">
        <f>IF(LEN(C43)=0,"",C43)</f>
        <v>Mise en place de l'environnement git</v>
      </c>
      <c r="C29" s="180" t="s">
        <v>52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90"/>
    </row>
    <row r="30" spans="1:246" ht="20.100000000000001" customHeight="1" x14ac:dyDescent="0.3">
      <c r="A30" s="100" t="s">
        <v>25</v>
      </c>
      <c r="B30" s="63" t="str">
        <f>IF(LEN(C45)=0,"",C45)</f>
        <v>Mise en place de l'environnement de developpement web</v>
      </c>
      <c r="C30" s="181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90"/>
    </row>
    <row r="31" spans="1:246" ht="20.100000000000001" customHeight="1" x14ac:dyDescent="0.25">
      <c r="A31" s="100" t="s">
        <v>24</v>
      </c>
      <c r="B31" s="63" t="str">
        <f>IF(LEN(C47)=0,"",C47)</f>
        <v/>
      </c>
      <c r="C31" s="180" t="s">
        <v>53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90"/>
    </row>
    <row r="32" spans="1:246" ht="20.100000000000001" customHeight="1" x14ac:dyDescent="0.3">
      <c r="A32" s="100" t="s">
        <v>25</v>
      </c>
      <c r="B32" s="63" t="str">
        <f>IF(LEN(C49)=0,"",C49)</f>
        <v/>
      </c>
      <c r="C32" s="181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90"/>
    </row>
    <row r="33" spans="1:246" ht="20.100000000000001" customHeight="1" x14ac:dyDescent="0.25">
      <c r="A33" s="100" t="s">
        <v>24</v>
      </c>
      <c r="B33" s="63" t="str">
        <f>IF(LEN(C51)=0,"",C51)</f>
        <v/>
      </c>
      <c r="C33" s="180" t="s">
        <v>54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90"/>
    </row>
    <row r="34" spans="1:246" ht="20.100000000000001" customHeight="1" x14ac:dyDescent="0.3">
      <c r="A34" s="100" t="s">
        <v>25</v>
      </c>
      <c r="B34" s="63" t="str">
        <f>IF(LEN(C53)=0,"",C53)</f>
        <v/>
      </c>
      <c r="C34" s="181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90"/>
    </row>
    <row r="35" spans="1:246" ht="20.100000000000001" customHeight="1" x14ac:dyDescent="0.25">
      <c r="A35" s="100" t="s">
        <v>24</v>
      </c>
      <c r="B35" s="63" t="str">
        <f>IF(LEN(C55)=0,"",C55)</f>
        <v/>
      </c>
      <c r="C35" s="180" t="s">
        <v>55</v>
      </c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90"/>
    </row>
    <row r="36" spans="1:246" ht="20.100000000000001" customHeight="1" x14ac:dyDescent="0.25">
      <c r="A36" s="100" t="s">
        <v>25</v>
      </c>
      <c r="B36" s="63" t="str">
        <f>IF(LEN(C57)=0,"",C57)</f>
        <v/>
      </c>
      <c r="C36" s="190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90"/>
    </row>
    <row r="37" spans="1:246" ht="20.100000000000001" customHeight="1" x14ac:dyDescent="0.25">
      <c r="A37" s="100" t="s">
        <v>24</v>
      </c>
      <c r="B37" s="63" t="str">
        <f>IF(LEN(C59)=0,"",C59)</f>
        <v/>
      </c>
      <c r="C37" s="180" t="s">
        <v>56</v>
      </c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90"/>
    </row>
    <row r="38" spans="1:246" ht="20.100000000000001" customHeight="1" x14ac:dyDescent="0.3">
      <c r="A38" s="100" t="s">
        <v>25</v>
      </c>
      <c r="B38" s="63" t="str">
        <f>IF(LEN(C61)=0,"",C61)</f>
        <v/>
      </c>
      <c r="C38" s="181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90"/>
    </row>
    <row r="39" spans="1:246" ht="20.100000000000001" customHeight="1" x14ac:dyDescent="0.25">
      <c r="A39" s="100" t="s">
        <v>24</v>
      </c>
      <c r="B39" s="63" t="str">
        <f>IF(LEN(C63)=0,"",C63)</f>
        <v/>
      </c>
      <c r="C39" s="180" t="s">
        <v>57</v>
      </c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90"/>
    </row>
    <row r="40" spans="1:246" ht="20.100000000000001" customHeight="1" x14ac:dyDescent="0.25">
      <c r="A40" s="100" t="s">
        <v>25</v>
      </c>
      <c r="B40" s="63" t="str">
        <f>IF(LEN(C65)=0,"",C65)</f>
        <v/>
      </c>
      <c r="C40" s="19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90"/>
    </row>
    <row r="41" spans="1:246" ht="20.100000000000001" customHeight="1" x14ac:dyDescent="0.25">
      <c r="A41" s="100" t="s">
        <v>24</v>
      </c>
      <c r="B41" s="63" t="str">
        <f>IF(LEN(C67)=0,"",C67)</f>
        <v/>
      </c>
      <c r="C41" s="180" t="s">
        <v>50</v>
      </c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90"/>
    </row>
    <row r="42" spans="1:246" ht="20.100000000000001" customHeight="1" x14ac:dyDescent="0.3">
      <c r="A42" s="100" t="s">
        <v>25</v>
      </c>
      <c r="B42" s="63" t="str">
        <f>IF(LEN(C69)=0,"",C69)</f>
        <v/>
      </c>
      <c r="C42" s="18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90"/>
    </row>
    <row r="43" spans="1:246" ht="20.100000000000001" customHeight="1" x14ac:dyDescent="0.25">
      <c r="A43" s="100" t="s">
        <v>24</v>
      </c>
      <c r="B43" s="63" t="str">
        <f>IF(LEN(C71)=0,"",C71)</f>
        <v/>
      </c>
      <c r="C43" s="180" t="s">
        <v>58</v>
      </c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90"/>
    </row>
    <row r="44" spans="1:246" ht="20.100000000000001" customHeight="1" x14ac:dyDescent="0.3">
      <c r="A44" s="100" t="s">
        <v>25</v>
      </c>
      <c r="B44" s="63" t="str">
        <f>IF(LEN(C73)=0,"",C73)</f>
        <v/>
      </c>
      <c r="C44" s="181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90"/>
    </row>
    <row r="45" spans="1:246" ht="20.100000000000001" customHeight="1" x14ac:dyDescent="0.25">
      <c r="A45" s="100" t="s">
        <v>24</v>
      </c>
      <c r="B45" s="63" t="str">
        <f>IF(LEN(C75)=0,"",C75)</f>
        <v/>
      </c>
      <c r="C45" s="180" t="s">
        <v>59</v>
      </c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90"/>
    </row>
    <row r="46" spans="1:246" ht="20.100000000000001" customHeight="1" x14ac:dyDescent="0.25">
      <c r="A46" s="100" t="s">
        <v>25</v>
      </c>
      <c r="B46" s="63" t="str">
        <f>IF(LEN(C77)=0,"",C77)</f>
        <v/>
      </c>
      <c r="C46" s="19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90"/>
    </row>
    <row r="47" spans="1:246" ht="20.100000000000001" customHeight="1" x14ac:dyDescent="0.25">
      <c r="A47" s="100" t="s">
        <v>24</v>
      </c>
      <c r="B47" s="63" t="str">
        <f>IF(LEN(C79)=0,"",C79)</f>
        <v/>
      </c>
      <c r="C47" s="180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90"/>
    </row>
    <row r="48" spans="1:246" ht="20.100000000000001" customHeight="1" x14ac:dyDescent="0.3">
      <c r="A48" s="100" t="s">
        <v>25</v>
      </c>
      <c r="B48" s="63" t="str">
        <f>IF(LEN(C81)=0,"",C81)</f>
        <v/>
      </c>
      <c r="C48" s="18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90"/>
    </row>
    <row r="49" spans="1:246" ht="20.100000000000001" customHeight="1" x14ac:dyDescent="0.25">
      <c r="A49" s="100" t="s">
        <v>24</v>
      </c>
      <c r="B49" s="63" t="str">
        <f>IF(LEN(C83)=0,"",C83)</f>
        <v/>
      </c>
      <c r="C49" s="180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90"/>
    </row>
    <row r="50" spans="1:246" ht="20.100000000000001" customHeight="1" x14ac:dyDescent="0.3">
      <c r="A50" s="100" t="s">
        <v>25</v>
      </c>
      <c r="B50" s="63" t="str">
        <f>IF(LEN(C85)=0,"",C85)</f>
        <v/>
      </c>
      <c r="C50" s="181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90"/>
    </row>
    <row r="51" spans="1:246" ht="20.100000000000001" customHeight="1" x14ac:dyDescent="0.25">
      <c r="A51" s="100" t="s">
        <v>24</v>
      </c>
      <c r="B51" s="63" t="str">
        <f>IF(LEN(C87)=0,"",C87)</f>
        <v/>
      </c>
      <c r="C51" s="180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90"/>
    </row>
    <row r="52" spans="1:246" ht="20.100000000000001" customHeight="1" x14ac:dyDescent="0.25">
      <c r="A52" s="100" t="s">
        <v>25</v>
      </c>
      <c r="B52" s="63" t="str">
        <f>IF(LEN(C89)=0,"",C89)</f>
        <v/>
      </c>
      <c r="C52" s="19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90"/>
    </row>
    <row r="53" spans="1:246" ht="20.100000000000001" customHeight="1" x14ac:dyDescent="0.25">
      <c r="A53" s="100" t="s">
        <v>24</v>
      </c>
      <c r="B53" s="63" t="str">
        <f>IF(LEN(C91)=0,"",C91)</f>
        <v/>
      </c>
      <c r="C53" s="180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90"/>
    </row>
    <row r="54" spans="1:246" ht="20.100000000000001" customHeight="1" x14ac:dyDescent="0.3">
      <c r="A54" s="100" t="s">
        <v>25</v>
      </c>
      <c r="B54" s="63" t="str">
        <f>IF(LEN(C93)=0,"",C93)</f>
        <v/>
      </c>
      <c r="C54" s="181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90"/>
    </row>
    <row r="55" spans="1:246" ht="20.100000000000001" customHeight="1" x14ac:dyDescent="0.25">
      <c r="A55" s="100" t="s">
        <v>24</v>
      </c>
      <c r="B55" s="63"/>
      <c r="C55" s="180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90"/>
    </row>
    <row r="56" spans="1:246" ht="20.100000000000001" customHeight="1" x14ac:dyDescent="0.25">
      <c r="A56" s="100" t="s">
        <v>25</v>
      </c>
      <c r="B56" s="63"/>
      <c r="C56" s="19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90"/>
    </row>
    <row r="57" spans="1:246" ht="20.100000000000001" customHeight="1" x14ac:dyDescent="0.25">
      <c r="A57" s="100" t="s">
        <v>24</v>
      </c>
      <c r="B57" s="63"/>
      <c r="C57" s="180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90"/>
    </row>
    <row r="58" spans="1:246" ht="20.100000000000001" customHeight="1" x14ac:dyDescent="0.3">
      <c r="A58" s="100" t="s">
        <v>25</v>
      </c>
      <c r="B58" s="63"/>
      <c r="C58" s="18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90"/>
    </row>
    <row r="59" spans="1:246" ht="20.100000000000001" customHeight="1" x14ac:dyDescent="0.25">
      <c r="A59" s="100" t="s">
        <v>24</v>
      </c>
      <c r="B59" s="63"/>
      <c r="C59" s="180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90"/>
    </row>
    <row r="60" spans="1:246" ht="20.100000000000001" customHeight="1" x14ac:dyDescent="0.3">
      <c r="A60" s="100" t="s">
        <v>25</v>
      </c>
      <c r="B60" s="63"/>
      <c r="C60" s="181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90"/>
    </row>
    <row r="61" spans="1:246" ht="20.100000000000001" customHeight="1" x14ac:dyDescent="0.25">
      <c r="A61" s="100" t="s">
        <v>24</v>
      </c>
      <c r="B61" s="63"/>
      <c r="C61" s="180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90"/>
    </row>
    <row r="62" spans="1:246" ht="20.100000000000001" customHeight="1" x14ac:dyDescent="0.25">
      <c r="A62" s="100" t="s">
        <v>25</v>
      </c>
      <c r="B62" s="63"/>
      <c r="C62" s="19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90"/>
    </row>
    <row r="63" spans="1:246" ht="20.100000000000001" customHeight="1" x14ac:dyDescent="0.25">
      <c r="A63" s="100" t="s">
        <v>24</v>
      </c>
      <c r="B63" s="63"/>
      <c r="C63" s="180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90"/>
    </row>
    <row r="64" spans="1:246" ht="20.100000000000001" customHeight="1" x14ac:dyDescent="0.3">
      <c r="A64" s="100" t="s">
        <v>25</v>
      </c>
      <c r="B64" s="63"/>
      <c r="C64" s="181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90"/>
    </row>
    <row r="65" spans="1:246" ht="20.100000000000001" customHeight="1" x14ac:dyDescent="0.25">
      <c r="A65" s="100" t="s">
        <v>24</v>
      </c>
      <c r="B65" s="63"/>
      <c r="C65" s="180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90"/>
    </row>
    <row r="66" spans="1:246" ht="20.100000000000001" customHeight="1" x14ac:dyDescent="0.3">
      <c r="A66" s="100" t="s">
        <v>25</v>
      </c>
      <c r="B66" s="63"/>
      <c r="C66" s="18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90"/>
    </row>
    <row r="67" spans="1:246" ht="20.100000000000001" customHeight="1" x14ac:dyDescent="0.25">
      <c r="A67" s="100" t="s">
        <v>24</v>
      </c>
      <c r="B67" s="63"/>
      <c r="C67" s="180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90"/>
    </row>
    <row r="68" spans="1:246" ht="20.100000000000001" customHeight="1" x14ac:dyDescent="0.25">
      <c r="A68" s="100" t="s">
        <v>25</v>
      </c>
      <c r="B68" s="63"/>
      <c r="C68" s="19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90"/>
    </row>
    <row r="69" spans="1:246" ht="20.100000000000001" customHeight="1" x14ac:dyDescent="0.25">
      <c r="A69" s="100" t="s">
        <v>24</v>
      </c>
      <c r="B69" s="63"/>
      <c r="C69" s="180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90"/>
    </row>
    <row r="70" spans="1:246" ht="20.100000000000001" customHeight="1" x14ac:dyDescent="0.3">
      <c r="A70" s="100" t="s">
        <v>25</v>
      </c>
      <c r="B70" s="63"/>
      <c r="C70" s="18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90"/>
    </row>
    <row r="71" spans="1:246" ht="20.100000000000001" customHeight="1" x14ac:dyDescent="0.25">
      <c r="A71" s="100" t="s">
        <v>24</v>
      </c>
      <c r="B71" s="63"/>
      <c r="C71" s="180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90"/>
    </row>
    <row r="72" spans="1:246" ht="20.100000000000001" customHeight="1" x14ac:dyDescent="0.25">
      <c r="A72" s="100" t="s">
        <v>25</v>
      </c>
      <c r="B72" s="63"/>
      <c r="C72" s="190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90"/>
    </row>
    <row r="73" spans="1:246" ht="20.100000000000001" customHeight="1" x14ac:dyDescent="0.25">
      <c r="A73" s="100" t="s">
        <v>24</v>
      </c>
      <c r="B73" s="63"/>
      <c r="C73" s="180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90"/>
    </row>
    <row r="74" spans="1:246" ht="20.100000000000001" customHeight="1" x14ac:dyDescent="0.3">
      <c r="A74" s="100" t="s">
        <v>25</v>
      </c>
      <c r="B74" s="63"/>
      <c r="C74" s="181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90"/>
    </row>
    <row r="75" spans="1:246" ht="20.100000000000001" customHeight="1" x14ac:dyDescent="0.25">
      <c r="A75" s="100" t="s">
        <v>24</v>
      </c>
      <c r="B75" s="63"/>
      <c r="C75" s="180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90"/>
    </row>
    <row r="76" spans="1:246" ht="20.100000000000001" customHeight="1" x14ac:dyDescent="0.3">
      <c r="A76" s="100" t="s">
        <v>25</v>
      </c>
      <c r="B76" s="63"/>
      <c r="C76" s="181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90"/>
    </row>
    <row r="77" spans="1:246" ht="20.100000000000001" customHeight="1" x14ac:dyDescent="0.25">
      <c r="A77" s="100" t="s">
        <v>24</v>
      </c>
      <c r="B77" s="63"/>
      <c r="C77" s="18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90"/>
    </row>
    <row r="78" spans="1:246" ht="20.100000000000001" customHeight="1" x14ac:dyDescent="0.25">
      <c r="A78" s="100" t="s">
        <v>25</v>
      </c>
      <c r="B78" s="63"/>
      <c r="C78" s="19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90"/>
    </row>
    <row r="79" spans="1:246" ht="20.100000000000001" customHeight="1" x14ac:dyDescent="0.25">
      <c r="A79" s="100" t="s">
        <v>24</v>
      </c>
      <c r="B79" s="63"/>
      <c r="C79" s="18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90"/>
    </row>
    <row r="80" spans="1:246" ht="20.100000000000001" customHeight="1" x14ac:dyDescent="0.3">
      <c r="A80" s="100" t="s">
        <v>25</v>
      </c>
      <c r="B80" s="63"/>
      <c r="C80" s="181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90"/>
    </row>
    <row r="81" spans="1:246" ht="20.100000000000001" customHeight="1" x14ac:dyDescent="0.25">
      <c r="A81" s="100" t="s">
        <v>24</v>
      </c>
      <c r="B81" s="63"/>
      <c r="C81" s="180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90"/>
    </row>
    <row r="82" spans="1:246" ht="20.100000000000001" customHeight="1" x14ac:dyDescent="0.3">
      <c r="A82" s="100" t="s">
        <v>25</v>
      </c>
      <c r="B82" s="63"/>
      <c r="C82" s="181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90"/>
    </row>
    <row r="83" spans="1:246" ht="20.100000000000001" customHeight="1" x14ac:dyDescent="0.25">
      <c r="A83" s="100" t="s">
        <v>24</v>
      </c>
      <c r="B83" s="63"/>
      <c r="C83" s="180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90"/>
    </row>
    <row r="84" spans="1:246" ht="20.100000000000001" customHeight="1" x14ac:dyDescent="0.25">
      <c r="A84" s="100" t="s">
        <v>25</v>
      </c>
      <c r="B84" s="63"/>
      <c r="C84" s="19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90"/>
    </row>
    <row r="85" spans="1:246" ht="20.100000000000001" customHeight="1" x14ac:dyDescent="0.25">
      <c r="A85" s="100" t="s">
        <v>24</v>
      </c>
      <c r="B85" s="63"/>
      <c r="C85" s="180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90"/>
    </row>
    <row r="86" spans="1:246" ht="20.100000000000001" customHeight="1" x14ac:dyDescent="0.3">
      <c r="A86" s="100" t="s">
        <v>25</v>
      </c>
      <c r="B86" s="63"/>
      <c r="C86" s="181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90"/>
    </row>
    <row r="87" spans="1:246" ht="20.100000000000001" customHeight="1" x14ac:dyDescent="0.25">
      <c r="A87" s="100" t="s">
        <v>24</v>
      </c>
      <c r="B87" s="63"/>
      <c r="C87" s="180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90"/>
    </row>
    <row r="88" spans="1:246" ht="20.100000000000001" customHeight="1" x14ac:dyDescent="0.25">
      <c r="A88" s="100" t="s">
        <v>25</v>
      </c>
      <c r="B88" s="63"/>
      <c r="C88" s="19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90"/>
    </row>
    <row r="89" spans="1:246" ht="20.100000000000001" customHeight="1" x14ac:dyDescent="0.25">
      <c r="A89" s="100" t="s">
        <v>24</v>
      </c>
      <c r="B89" s="63"/>
      <c r="C89" s="180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90"/>
    </row>
    <row r="90" spans="1:246" ht="20.100000000000001" customHeight="1" x14ac:dyDescent="0.3">
      <c r="A90" s="100" t="s">
        <v>25</v>
      </c>
      <c r="B90" s="63"/>
      <c r="C90" s="181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90"/>
    </row>
    <row r="91" spans="1:246" ht="20.100000000000001" customHeight="1" x14ac:dyDescent="0.25">
      <c r="A91" s="100" t="s">
        <v>24</v>
      </c>
      <c r="B91" s="63"/>
      <c r="C91" s="180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90"/>
    </row>
    <row r="92" spans="1:246" ht="20.100000000000001" customHeight="1" x14ac:dyDescent="0.3">
      <c r="A92" s="100" t="s">
        <v>25</v>
      </c>
      <c r="B92" s="63"/>
      <c r="C92" s="181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90"/>
    </row>
    <row r="93" spans="1:246" ht="20.100000000000001" customHeight="1" x14ac:dyDescent="0.25">
      <c r="A93" s="100" t="s">
        <v>24</v>
      </c>
      <c r="B93" s="63"/>
      <c r="C93" s="180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90"/>
    </row>
    <row r="94" spans="1:246" ht="20.100000000000001" customHeight="1" x14ac:dyDescent="0.25">
      <c r="A94" s="100" t="s">
        <v>25</v>
      </c>
      <c r="B94" s="63"/>
      <c r="C94" s="19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90"/>
    </row>
    <row r="95" spans="1:246" ht="20.100000000000001" customHeight="1" x14ac:dyDescent="0.25">
      <c r="B95" s="96"/>
      <c r="C95" s="172" t="s">
        <v>9</v>
      </c>
      <c r="D95" s="173"/>
      <c r="E95" s="117">
        <f>SUM(E15,E17,E19,E21,E23,E25,E27,E29,E31,E33,E35,E37,E39,E41,E43,E45,E47,E49,E51,E53,E55,E57,E59,E61,E63,E65,E67,E69,E71,E73,E75,E77,E79,E81,E83,E85,E87,E89,E91,E93)</f>
        <v>72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90"/>
    </row>
    <row r="96" spans="1:246" ht="20.100000000000001" customHeight="1" thickBot="1" x14ac:dyDescent="0.3">
      <c r="B96" s="96"/>
      <c r="C96" s="174"/>
      <c r="D96" s="175"/>
      <c r="E96" s="123" t="str">
        <f xml:space="preserve"> setValueToTime(E95)</f>
        <v>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90"/>
    </row>
    <row r="97" spans="2:246" ht="20.100000000000001" customHeight="1" x14ac:dyDescent="0.25">
      <c r="B97" s="96"/>
      <c r="C97" s="176" t="s">
        <v>10</v>
      </c>
      <c r="D97" s="177"/>
      <c r="E97" s="118">
        <f>SUM(E16,E18,E20,E22,E24,E26,E28,E30,E32,E34,E36,E38,E40,E42,E44,E46,E48,E50,E52,E54,E56,E58,E60,E62,E64,E66,E68,E70,E72,E74,E76,E78,E80,E82,E84,E86,E88,E90,E92,E94)</f>
        <v>30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24"/>
    </row>
    <row r="98" spans="2:246" ht="20.100000000000001" customHeight="1" thickBot="1" x14ac:dyDescent="0.3">
      <c r="B98" s="96"/>
      <c r="C98" s="178"/>
      <c r="D98" s="179"/>
      <c r="E98" s="122" t="str">
        <f xml:space="preserve"> setValueToTime(E97)</f>
        <v>2h30min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90"/>
    </row>
    <row r="99" spans="2:2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91"/>
    </row>
  </sheetData>
  <sheetProtection insertRows="0" insertHyperlinks="0" selectLockedCells="1"/>
  <mergeCells count="102"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49"/>
  <sheetViews>
    <sheetView showGridLines="0" zoomScaleNormal="100" zoomScaleSheetLayoutView="98" workbookViewId="0">
      <pane ySplit="1" topLeftCell="A33" activePane="bottomLeft" state="frozen"/>
      <selection activeCell="BC13" sqref="BC13"/>
      <selection pane="bottomLeft" activeCell="G49" sqref="G49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4.140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16</v>
      </c>
      <c r="B2" s="163">
        <v>4</v>
      </c>
      <c r="C2" s="163"/>
      <c r="D2" s="82" t="s">
        <v>19</v>
      </c>
      <c r="E2" s="94">
        <v>44634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46</v>
      </c>
      <c r="C3" s="151"/>
      <c r="D3" s="80" t="s">
        <v>17</v>
      </c>
      <c r="E3" s="207" t="s">
        <v>18</v>
      </c>
      <c r="F3" s="208"/>
      <c r="G3" s="46"/>
    </row>
    <row r="4" spans="1:7" s="52" customFormat="1" x14ac:dyDescent="0.3">
      <c r="A4" s="48" t="s">
        <v>47</v>
      </c>
      <c r="B4" s="49">
        <v>12</v>
      </c>
      <c r="C4" s="152" t="str">
        <f xml:space="preserve"> IF(B4="","",setValueToTime(B4))</f>
        <v>1h</v>
      </c>
      <c r="D4" s="50"/>
      <c r="E4" s="205"/>
      <c r="F4" s="206"/>
      <c r="G4" s="51"/>
    </row>
    <row r="5" spans="1:7" s="52" customFormat="1" x14ac:dyDescent="0.3">
      <c r="A5" s="213" t="s">
        <v>49</v>
      </c>
      <c r="B5" s="54">
        <v>6</v>
      </c>
      <c r="C5" s="153" t="str">
        <f t="shared" ref="C5:C11" si="0" xml:space="preserve"> IF(B5="","",setValueToTime(B5))</f>
        <v>0h30min</v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199"/>
      <c r="F10" s="20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1"/>
      <c r="F11" s="202"/>
      <c r="G11" s="51"/>
    </row>
    <row r="12" spans="1:7" s="52" customFormat="1" ht="15" thickBot="1" x14ac:dyDescent="0.35">
      <c r="A12" s="111" t="s">
        <v>33</v>
      </c>
      <c r="B12" s="84">
        <f>SUM(B4:B11)</f>
        <v>18</v>
      </c>
      <c r="C12" s="111" t="str">
        <f xml:space="preserve"> setValueToTime(B12)</f>
        <v>1h30min</v>
      </c>
      <c r="D12" s="120"/>
      <c r="E12" s="203"/>
      <c r="F12" s="20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16</v>
      </c>
      <c r="B14" s="163">
        <v>3</v>
      </c>
      <c r="C14" s="163"/>
      <c r="D14" s="82" t="s">
        <v>19</v>
      </c>
      <c r="E14" s="94">
        <v>44635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46</v>
      </c>
      <c r="C15" s="151"/>
      <c r="D15" s="80" t="s">
        <v>17</v>
      </c>
      <c r="E15" s="207" t="s">
        <v>18</v>
      </c>
      <c r="F15" s="208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05"/>
      <c r="F16" s="206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199"/>
      <c r="F17" s="200"/>
      <c r="G17" s="51"/>
    </row>
    <row r="18" spans="1:7" s="52" customFormat="1" x14ac:dyDescent="0.3">
      <c r="A18" s="213" t="s">
        <v>50</v>
      </c>
      <c r="B18" s="54"/>
      <c r="C18" s="153" t="str">
        <f t="shared" si="1"/>
        <v/>
      </c>
      <c r="D18" s="55"/>
      <c r="E18" s="199"/>
      <c r="F18" s="20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199"/>
      <c r="F19" s="20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199"/>
      <c r="F20" s="20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199"/>
      <c r="F21" s="20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199"/>
      <c r="F22" s="20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1"/>
      <c r="F23" s="202"/>
      <c r="G23" s="51"/>
    </row>
    <row r="24" spans="1:7" s="52" customFormat="1" ht="15" thickBot="1" x14ac:dyDescent="0.35">
      <c r="A24" s="111" t="s">
        <v>33</v>
      </c>
      <c r="B24" s="84">
        <f>SUM(B16:B23)</f>
        <v>0</v>
      </c>
      <c r="C24" s="111" t="str">
        <f xml:space="preserve"> setValueToTime(B24)</f>
        <v>0h</v>
      </c>
      <c r="D24" s="120"/>
      <c r="E24" s="203"/>
      <c r="F24" s="20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16</v>
      </c>
      <c r="B26" s="163">
        <v>2</v>
      </c>
      <c r="C26" s="163"/>
      <c r="D26" s="82" t="s">
        <v>19</v>
      </c>
      <c r="E26" s="94">
        <v>44636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46</v>
      </c>
      <c r="C27" s="151"/>
      <c r="D27" s="80" t="s">
        <v>17</v>
      </c>
      <c r="E27" s="207" t="s">
        <v>18</v>
      </c>
      <c r="F27" s="208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05"/>
      <c r="F28" s="206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199"/>
      <c r="F29" s="200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199"/>
      <c r="F30" s="20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199"/>
      <c r="F31" s="20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199"/>
      <c r="F32" s="20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199"/>
      <c r="F33" s="20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199"/>
      <c r="F34" s="20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1"/>
      <c r="F35" s="202"/>
      <c r="G35" s="51"/>
    </row>
    <row r="36" spans="1:7" s="52" customFormat="1" ht="15" thickBot="1" x14ac:dyDescent="0.35">
      <c r="A36" s="111" t="s">
        <v>33</v>
      </c>
      <c r="B36" s="84">
        <f>SUM(B28:B35)</f>
        <v>0</v>
      </c>
      <c r="C36" s="111" t="str">
        <f xml:space="preserve"> setValueToTime(B36)</f>
        <v>0h</v>
      </c>
      <c r="D36" s="120"/>
      <c r="E36" s="203"/>
      <c r="F36" s="20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16</v>
      </c>
      <c r="B38" s="163">
        <v>1</v>
      </c>
      <c r="C38" s="163"/>
      <c r="D38" s="82" t="s">
        <v>19</v>
      </c>
      <c r="E38" s="94">
        <v>44637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46</v>
      </c>
      <c r="C39" s="151"/>
      <c r="D39" s="80" t="s">
        <v>17</v>
      </c>
      <c r="E39" s="207" t="s">
        <v>18</v>
      </c>
      <c r="F39" s="208"/>
      <c r="G39" s="46"/>
    </row>
    <row r="40" spans="1:7" s="52" customFormat="1" x14ac:dyDescent="0.3">
      <c r="A40" s="48" t="s">
        <v>20</v>
      </c>
      <c r="B40" s="49">
        <v>60</v>
      </c>
      <c r="C40" s="152" t="str">
        <f xml:space="preserve"> IF(B40="","",setValueToTime(B40))</f>
        <v>5h</v>
      </c>
      <c r="D40" s="50"/>
      <c r="E40" s="205"/>
      <c r="F40" s="206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199"/>
      <c r="F41" s="20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199"/>
      <c r="F42" s="20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199"/>
      <c r="F43" s="20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199"/>
      <c r="F44" s="20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199"/>
      <c r="F45" s="20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199"/>
      <c r="F46" s="20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1"/>
      <c r="F47" s="202"/>
      <c r="G47" s="51"/>
    </row>
    <row r="48" spans="1:7" s="52" customFormat="1" ht="15" thickBot="1" x14ac:dyDescent="0.35">
      <c r="A48" s="111" t="s">
        <v>33</v>
      </c>
      <c r="B48" s="84">
        <f>SUM(B40:B47)</f>
        <v>60</v>
      </c>
      <c r="C48" s="111" t="str">
        <f xml:space="preserve"> setValueToTime(B48)</f>
        <v>5h</v>
      </c>
      <c r="D48" s="120"/>
      <c r="E48" s="203"/>
      <c r="F48" s="204"/>
      <c r="G48" s="51"/>
    </row>
    <row r="49" spans="1:7" s="59" customFormat="1" x14ac:dyDescent="0.3">
      <c r="A49" s="79"/>
      <c r="B49" s="79"/>
      <c r="C49" s="79"/>
      <c r="D49" s="79"/>
      <c r="E49" s="79"/>
      <c r="F49" s="79"/>
      <c r="G49" s="58"/>
    </row>
  </sheetData>
  <sheetProtection formatRows="0" insertRows="0" insertHyperlinks="0" deleteRows="0" selectLockedCells="1"/>
  <mergeCells count="4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</mergeCells>
  <phoneticPr fontId="0" type="noConversion"/>
  <conditionalFormatting sqref="B48">
    <cfRule type="cellIs" dxfId="6" priority="4" operator="greaterThan">
      <formula>60</formula>
    </cfRule>
  </conditionalFormatting>
  <conditionalFormatting sqref="B36">
    <cfRule type="cellIs" dxfId="5" priority="3" operator="greaterThan">
      <formula>60</formula>
    </cfRule>
  </conditionalFormatting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28:B35 B16:B23 B4:B11">
      <formula1>0</formula1>
    </dataValidation>
    <dataValidation type="list" allowBlank="1" showInputMessage="1" showErrorMessage="1" sqref="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1</v>
      </c>
      <c r="C2" s="164"/>
      <c r="D2" s="157" t="s">
        <v>19</v>
      </c>
      <c r="E2" s="158" t="s">
        <v>48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46</v>
      </c>
      <c r="C3" s="160"/>
      <c r="D3" s="78" t="s">
        <v>17</v>
      </c>
      <c r="E3" s="211" t="s">
        <v>18</v>
      </c>
      <c r="F3" s="212"/>
      <c r="G3" s="46"/>
    </row>
    <row r="4" spans="1:7" s="52" customFormat="1" x14ac:dyDescent="0.3">
      <c r="A4" s="48" t="s">
        <v>20</v>
      </c>
      <c r="B4" s="49">
        <v>30</v>
      </c>
      <c r="C4" s="152" t="str">
        <f xml:space="preserve"> IF(B4="","",setValueToTime(B4))</f>
        <v>2h30min</v>
      </c>
      <c r="D4" s="50"/>
      <c r="E4" s="205"/>
      <c r="F4" s="206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199"/>
      <c r="F10" s="20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1"/>
      <c r="F11" s="202"/>
      <c r="G11" s="51"/>
    </row>
    <row r="12" spans="1:7" s="52" customFormat="1" ht="15" thickBot="1" x14ac:dyDescent="0.35">
      <c r="A12" s="162" t="s">
        <v>33</v>
      </c>
      <c r="B12" s="83">
        <f>SUM(B4:B11)</f>
        <v>30</v>
      </c>
      <c r="C12" s="162" t="str">
        <f xml:space="preserve"> setValueToTime(B12)</f>
        <v>2h30min</v>
      </c>
      <c r="D12" s="121"/>
      <c r="E12" s="209"/>
      <c r="F12" s="210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90"/>
    </row>
    <row r="12" spans="1:61" ht="18.75" thickBot="1" x14ac:dyDescent="0.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90"/>
    </row>
    <row r="13" spans="1:61" ht="18.75" thickBot="1" x14ac:dyDescent="0.3">
      <c r="A13" s="168" t="s">
        <v>16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90"/>
    </row>
    <row r="14" spans="1:61" ht="15.75" thickBot="1" x14ac:dyDescent="0.35">
      <c r="A14" s="103"/>
      <c r="B14" s="104"/>
      <c r="C14" s="104"/>
      <c r="D14" s="104"/>
      <c r="E14" s="171" t="s">
        <v>40</v>
      </c>
      <c r="F14" s="171"/>
      <c r="G14" s="171"/>
      <c r="H14" s="171"/>
      <c r="I14" s="104"/>
      <c r="J14" s="104"/>
      <c r="K14" s="167" t="s">
        <v>28</v>
      </c>
      <c r="L14" s="167"/>
      <c r="M14" s="167"/>
      <c r="N14" s="167"/>
      <c r="O14" s="129"/>
      <c r="P14" s="129"/>
      <c r="Q14" s="171" t="s">
        <v>41</v>
      </c>
      <c r="R14" s="171"/>
      <c r="S14" s="171"/>
      <c r="T14" s="171"/>
      <c r="U14" s="104"/>
      <c r="V14" s="104"/>
      <c r="W14" s="167" t="s">
        <v>29</v>
      </c>
      <c r="X14" s="167"/>
      <c r="Y14" s="167"/>
      <c r="Z14" s="167"/>
      <c r="AA14" s="129"/>
      <c r="AB14" s="129"/>
      <c r="AC14" s="171" t="s">
        <v>42</v>
      </c>
      <c r="AD14" s="171"/>
      <c r="AE14" s="171"/>
      <c r="AF14" s="171"/>
      <c r="AG14" s="104"/>
      <c r="AH14" s="104"/>
      <c r="AI14" s="167" t="s">
        <v>30</v>
      </c>
      <c r="AJ14" s="167"/>
      <c r="AK14" s="167"/>
      <c r="AL14" s="167"/>
      <c r="AM14" s="129"/>
      <c r="AN14" s="129"/>
      <c r="AO14" s="171" t="s">
        <v>43</v>
      </c>
      <c r="AP14" s="171"/>
      <c r="AQ14" s="171"/>
      <c r="AR14" s="171"/>
      <c r="AS14" s="104"/>
      <c r="AT14" s="104"/>
      <c r="AU14" s="167" t="s">
        <v>31</v>
      </c>
      <c r="AV14" s="167"/>
      <c r="AW14" s="167"/>
      <c r="AX14" s="167"/>
      <c r="AY14" s="129"/>
      <c r="AZ14" s="129"/>
      <c r="BA14" s="171" t="s">
        <v>44</v>
      </c>
      <c r="BB14" s="171"/>
      <c r="BC14" s="171"/>
      <c r="BD14" s="17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46</v>
      </c>
      <c r="C2" s="151"/>
      <c r="D2" s="80" t="s">
        <v>17</v>
      </c>
      <c r="E2" s="207" t="s">
        <v>18</v>
      </c>
      <c r="F2" s="20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5"/>
      <c r="F3" s="20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199"/>
      <c r="F4" s="20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1"/>
      <c r="F10" s="202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3"/>
      <c r="F11" s="20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46</v>
      </c>
      <c r="C2" s="160"/>
      <c r="D2" s="78" t="s">
        <v>17</v>
      </c>
      <c r="E2" s="211" t="s">
        <v>18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5"/>
      <c r="F3" s="20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199"/>
      <c r="F4" s="20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1"/>
      <c r="F10" s="202"/>
      <c r="G10" s="51"/>
    </row>
    <row r="11" spans="1:7" s="52" customFormat="1" ht="15" thickBot="1" x14ac:dyDescent="0.35">
      <c r="A11" s="162" t="s">
        <v>33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MS_Mappings xmlns="bf2f2df3-a963-4452-b0e7-67dabc627c35" xsi:nil="true"/>
    <IsNotebookLocked xmlns="bf2f2df3-a963-4452-b0e7-67dabc627c35" xsi:nil="true"/>
    <Is_Collaboration_Space_Locked xmlns="bf2f2df3-a963-4452-b0e7-67dabc627c35" xsi:nil="true"/>
    <CultureName xmlns="bf2f2df3-a963-4452-b0e7-67dabc627c35" xsi:nil="true"/>
    <TeamsChannelId xmlns="bf2f2df3-a963-4452-b0e7-67dabc627c35" xsi:nil="true"/>
    <Invited_Teachers xmlns="bf2f2df3-a963-4452-b0e7-67dabc627c35" xsi:nil="true"/>
    <DefaultSectionNames xmlns="bf2f2df3-a963-4452-b0e7-67dabc627c35" xsi:nil="true"/>
    <Has_Teacher_Only_SectionGroup xmlns="bf2f2df3-a963-4452-b0e7-67dabc627c35" xsi:nil="true"/>
    <Owner xmlns="bf2f2df3-a963-4452-b0e7-67dabc627c35">
      <UserInfo>
        <DisplayName/>
        <AccountId xsi:nil="true"/>
        <AccountType/>
      </UserInfo>
    </Owner>
    <AppVersion xmlns="bf2f2df3-a963-4452-b0e7-67dabc627c35" xsi:nil="true"/>
    <Templates xmlns="bf2f2df3-a963-4452-b0e7-67dabc627c35" xsi:nil="true"/>
    <NotebookType xmlns="bf2f2df3-a963-4452-b0e7-67dabc627c35" xsi:nil="true"/>
    <Distribution_Groups xmlns="bf2f2df3-a963-4452-b0e7-67dabc627c35" xsi:nil="true"/>
    <Invited_Students xmlns="bf2f2df3-a963-4452-b0e7-67dabc627c35" xsi:nil="true"/>
    <Teams_Channel_Section_Location xmlns="bf2f2df3-a963-4452-b0e7-67dabc627c35" xsi:nil="true"/>
    <Math_Settings xmlns="bf2f2df3-a963-4452-b0e7-67dabc627c35" xsi:nil="true"/>
    <Self_Registration_Enabled xmlns="bf2f2df3-a963-4452-b0e7-67dabc627c35" xsi:nil="true"/>
    <FolderType xmlns="bf2f2df3-a963-4452-b0e7-67dabc627c35" xsi:nil="true"/>
    <Teachers xmlns="bf2f2df3-a963-4452-b0e7-67dabc627c35">
      <UserInfo>
        <DisplayName/>
        <AccountId xsi:nil="true"/>
        <AccountType/>
      </UserInfo>
    </Teachers>
    <Students xmlns="bf2f2df3-a963-4452-b0e7-67dabc627c35">
      <UserInfo>
        <DisplayName/>
        <AccountId xsi:nil="true"/>
        <AccountType/>
      </UserInfo>
    </Students>
    <Student_Groups xmlns="bf2f2df3-a963-4452-b0e7-67dabc627c35">
      <UserInfo>
        <DisplayName/>
        <AccountId xsi:nil="true"/>
        <AccountType/>
      </UserInfo>
    </Student_Group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33" ma:contentTypeDescription="Crée un document." ma:contentTypeScope="" ma:versionID="c014c573de66e14f7147e4a44c4fc6de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e75ccaf8a62cd64865d246852b622afe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NotebookType" minOccurs="0"/>
                <xsd:element ref="ns2:FolderType" minOccurs="0"/>
                <xsd:element ref="ns2:CultureName" minOccurs="0"/>
                <xsd:element ref="ns2:AppVersion" minOccurs="0"/>
                <xsd:element ref="ns2:TeamsChannelId" minOccurs="0"/>
                <xsd:element ref="ns2:Owner" minOccurs="0"/>
                <xsd:element ref="ns2:Math_Settings" minOccurs="0"/>
                <xsd:element ref="ns2:DefaultSectionNames" minOccurs="0"/>
                <xsd:element ref="ns2:Templates" minOccurs="0"/>
                <xsd:element ref="ns2:Teachers" minOccurs="0"/>
                <xsd:element ref="ns2:Students" minOccurs="0"/>
                <xsd:element ref="ns2:Student_Groups" minOccurs="0"/>
                <xsd:element ref="ns2:Distribution_Groups" minOccurs="0"/>
                <xsd:element ref="ns2:LMS_Mappings" minOccurs="0"/>
                <xsd:element ref="ns2:Invited_Teachers" minOccurs="0"/>
                <xsd:element ref="ns2:Invited_Students" minOccurs="0"/>
                <xsd:element ref="ns2:Self_Registration_Enabled" minOccurs="0"/>
                <xsd:element ref="ns2:Has_Teacher_Only_SectionGroup" minOccurs="0"/>
                <xsd:element ref="ns2:Is_Collaboration_Space_Locked" minOccurs="0"/>
                <xsd:element ref="ns2:IsNotebookLocked" minOccurs="0"/>
                <xsd:element ref="ns2:Teams_Channel_Section_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NotebookType" ma:index="16" nillable="true" ma:displayName="Notebook Type" ma:internalName="NotebookType">
      <xsd:simpleType>
        <xsd:restriction base="dms:Text"/>
      </xsd:simpleType>
    </xsd:element>
    <xsd:element name="FolderType" ma:index="17" nillable="true" ma:displayName="Folder Type" ma:internalName="FolderType">
      <xsd:simpleType>
        <xsd:restriction base="dms:Text"/>
      </xsd:simpleType>
    </xsd:element>
    <xsd:element name="CultureName" ma:index="18" nillable="true" ma:displayName="Culture Name" ma:internalName="CultureName">
      <xsd:simpleType>
        <xsd:restriction base="dms:Text"/>
      </xsd:simpleType>
    </xsd:element>
    <xsd:element name="AppVersion" ma:index="19" nillable="true" ma:displayName="App Version" ma:internalName="AppVersion">
      <xsd:simpleType>
        <xsd:restriction base="dms:Text"/>
      </xsd:simpleType>
    </xsd:element>
    <xsd:element name="TeamsChannelId" ma:index="20" nillable="true" ma:displayName="Teams Channel Id" ma:internalName="TeamsChannelId">
      <xsd:simpleType>
        <xsd:restriction base="dms:Text"/>
      </xsd:simpleType>
    </xsd:element>
    <xsd:element name="Owner" ma:index="21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2" nillable="true" ma:displayName="Math Settings" ma:internalName="Math_Settings">
      <xsd:simpleType>
        <xsd:restriction base="dms:Text"/>
      </xsd:simpleType>
    </xsd:element>
    <xsd:element name="DefaultSectionNames" ma:index="23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4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5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6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7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8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9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0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1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2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3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4" nillable="true" ma:displayName="Is Collaboration Space Locked" ma:internalName="Is_Collaboration_Space_Locked">
      <xsd:simpleType>
        <xsd:restriction base="dms:Boolean"/>
      </xsd:simpleType>
    </xsd:element>
    <xsd:element name="IsNotebookLocked" ma:index="35" nillable="true" ma:displayName="Is Notebook Locked" ma:internalName="IsNotebookLocked">
      <xsd:simpleType>
        <xsd:restriction base="dms:Boolean"/>
      </xsd:simpleType>
    </xsd:element>
    <xsd:element name="Teams_Channel_Section_Location" ma:index="36" nillable="true" ma:displayName="Teams Channel Section Location" ma:internalName="Teams_Channel_Section_Location">
      <xsd:simpleType>
        <xsd:restriction base="dms:Text"/>
      </xsd:simpleType>
    </xsd:element>
    <xsd:element name="MediaServiceAutoKeyPoints" ma:index="3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3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bf2f2df3-a963-4452-b0e7-67dabc627c35"/>
  </ds:schemaRefs>
</ds:datastoreItem>
</file>

<file path=customXml/itemProps2.xml><?xml version="1.0" encoding="utf-8"?>
<ds:datastoreItem xmlns:ds="http://schemas.openxmlformats.org/officeDocument/2006/customXml" ds:itemID="{F2D28913-7073-4A93-9B93-460E8F438B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Josécarlos Gasser</dc:creator>
  <cp:lastModifiedBy>Josécarlos Gasser</cp:lastModifiedBy>
  <cp:lastPrinted>2019-05-08T10:31:53Z</cp:lastPrinted>
  <dcterms:created xsi:type="dcterms:W3CDTF">1996-10-21T11:03:58Z</dcterms:created>
  <dcterms:modified xsi:type="dcterms:W3CDTF">2022-03-18T10:21:43Z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